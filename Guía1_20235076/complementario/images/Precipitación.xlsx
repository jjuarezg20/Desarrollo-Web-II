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a8d54b170df3dbb/Documentos/GitHub/Desarrollo-Web-II/Guía1_20235076/complementario/images/"/>
    </mc:Choice>
  </mc:AlternateContent>
  <xr:revisionPtr revIDLastSave="90" documentId="8_{79844F94-94E5-49BC-9BF6-D77CC3039D80}" xr6:coauthVersionLast="47" xr6:coauthVersionMax="47" xr10:uidLastSave="{6ABFA45B-BAD4-40D2-91D1-A09387206B3E}"/>
  <bookViews>
    <workbookView xWindow="-110" yWindow="-110" windowWidth="19420" windowHeight="11500" xr2:uid="{00000000-000D-0000-FFFF-FFFF00000000}"/>
  </bookViews>
  <sheets>
    <sheet name="P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3" i="1"/>
  <c r="N2" i="1"/>
  <c r="M3" i="1"/>
  <c r="M4" i="1"/>
  <c r="M5" i="1"/>
  <c r="M6" i="1"/>
  <c r="M7" i="1"/>
  <c r="M8" i="1"/>
  <c r="M9" i="1"/>
  <c r="M2" i="1"/>
  <c r="L4" i="1"/>
  <c r="L5" i="1"/>
  <c r="L6" i="1"/>
  <c r="L7" i="1"/>
  <c r="L8" i="1"/>
  <c r="L9" i="1"/>
  <c r="L3" i="1"/>
  <c r="K3" i="1"/>
  <c r="K4" i="1"/>
  <c r="K5" i="1"/>
  <c r="K6" i="1"/>
  <c r="K7" i="1"/>
  <c r="K8" i="1"/>
  <c r="K9" i="1"/>
  <c r="K2" i="1"/>
  <c r="I9" i="1"/>
  <c r="I8" i="1"/>
  <c r="I7" i="1"/>
  <c r="I6" i="1"/>
  <c r="I5" i="1"/>
  <c r="I4" i="1"/>
  <c r="I3" i="1"/>
  <c r="I2" i="1"/>
  <c r="H2" i="1"/>
  <c r="D3" i="1"/>
  <c r="D4" i="1" s="1"/>
  <c r="D2" i="1"/>
</calcChain>
</file>

<file path=xl/sharedStrings.xml><?xml version="1.0" encoding="utf-8"?>
<sst xmlns="http://schemas.openxmlformats.org/spreadsheetml/2006/main" count="11" uniqueCount="11">
  <si>
    <t>Datos</t>
  </si>
  <si>
    <t>Numero de datos (n)</t>
  </si>
  <si>
    <t>Rango ®</t>
  </si>
  <si>
    <t>Numero de clases (k)</t>
  </si>
  <si>
    <t>Ancho de clase (C)</t>
  </si>
  <si>
    <t xml:space="preserve">clases </t>
  </si>
  <si>
    <t>Frecuencia</t>
  </si>
  <si>
    <t>Total</t>
  </si>
  <si>
    <t>Acumulada</t>
  </si>
  <si>
    <t>Relativa</t>
  </si>
  <si>
    <t>Porcentual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</si>
</sst>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1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/>
    <xf numFmtId="17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topLeftCell="C1" zoomScale="108" zoomScaleNormal="160" workbookViewId="0">
      <selection activeCell="J13" sqref="J13"/>
    </sheetView>
  </sheetViews>
  <sheetFormatPr defaultColWidth="9.1796875" defaultRowHeight="14.5" x14ac:dyDescent="0.35"/>
  <cols>
    <col min="1" max="1" width="6" style="1" bestFit="1" customWidth="1"/>
    <col min="3" max="3" width="18.1796875" customWidth="1"/>
    <col min="11" max="11" width="12.26953125" customWidth="1"/>
    <col min="12" max="12" width="17.1796875" customWidth="1"/>
    <col min="13" max="13" width="12.36328125" customWidth="1"/>
    <col min="14" max="14" width="18.36328125" customWidth="1"/>
    <col min="15" max="15" width="15.6328125" customWidth="1"/>
  </cols>
  <sheetData>
    <row r="1" spans="1:14" x14ac:dyDescent="0.35">
      <c r="A1" s="1" t="s">
        <v>0</v>
      </c>
      <c r="C1" t="s">
        <v>1</v>
      </c>
      <c r="D1">
        <v>59</v>
      </c>
      <c r="H1" t="s">
        <v>5</v>
      </c>
      <c r="K1" t="s">
        <v>6</v>
      </c>
      <c r="L1" t="s">
        <v>8</v>
      </c>
      <c r="M1" t="s">
        <v>9</v>
      </c>
      <c r="N1" t="s">
        <v>10</v>
      </c>
    </row>
    <row r="2" spans="1:14" x14ac:dyDescent="0.35">
      <c r="A2" s="1">
        <v>174</v>
      </c>
      <c r="C2" t="s">
        <v>2</v>
      </c>
      <c r="D2">
        <f>+MAX(A2,A60)-MIN(A2,A60)</f>
        <v>525</v>
      </c>
      <c r="G2">
        <v>1</v>
      </c>
      <c r="H2">
        <f>MIN(A2,A60)</f>
        <v>174</v>
      </c>
      <c r="I2">
        <f>H2+D4</f>
        <v>240</v>
      </c>
      <c r="K2">
        <f>COUNTIFS($A$2:$A$60,"&gt;="&amp;$H2,$A$2:$A$60,"&lt;="&amp;$I2)</f>
        <v>12</v>
      </c>
      <c r="L2">
        <v>12</v>
      </c>
      <c r="M2" s="3">
        <f>K2/$H$11</f>
        <v>0.20338983050847459</v>
      </c>
      <c r="N2" s="2">
        <f>M2</f>
        <v>0.20338983050847459</v>
      </c>
    </row>
    <row r="3" spans="1:14" x14ac:dyDescent="0.35">
      <c r="A3" s="1">
        <v>174</v>
      </c>
      <c r="C3" t="s">
        <v>3</v>
      </c>
      <c r="D3">
        <f>+ROUNDUP(SQRT(D1),0)</f>
        <v>8</v>
      </c>
      <c r="G3">
        <v>2</v>
      </c>
      <c r="H3">
        <v>241</v>
      </c>
      <c r="I3">
        <f>H3+D4</f>
        <v>307</v>
      </c>
      <c r="K3">
        <f t="shared" ref="K3:K9" si="0">COUNTIFS($A$2:$A$60,"&gt;="&amp;$H3,$A$2:$A$60,"&lt;="&amp;$I3)</f>
        <v>13</v>
      </c>
      <c r="L3">
        <f>L2+K3</f>
        <v>25</v>
      </c>
      <c r="M3" s="3">
        <f t="shared" ref="M3:N9" si="1">K3/$H$11</f>
        <v>0.22033898305084745</v>
      </c>
      <c r="N3" s="2">
        <f>M3</f>
        <v>0.22033898305084745</v>
      </c>
    </row>
    <row r="4" spans="1:14" x14ac:dyDescent="0.35">
      <c r="A4" s="1">
        <v>178</v>
      </c>
      <c r="C4" t="s">
        <v>4</v>
      </c>
      <c r="D4">
        <f>+ROUNDUP(D2/D3,0)</f>
        <v>66</v>
      </c>
      <c r="G4">
        <v>3</v>
      </c>
      <c r="H4">
        <v>308</v>
      </c>
      <c r="I4">
        <f>H4+D4</f>
        <v>374</v>
      </c>
      <c r="K4">
        <f t="shared" si="0"/>
        <v>22</v>
      </c>
      <c r="L4">
        <f t="shared" ref="L4:L9" si="2">L3+K4</f>
        <v>47</v>
      </c>
      <c r="M4" s="3">
        <f t="shared" si="1"/>
        <v>0.3728813559322034</v>
      </c>
      <c r="N4" s="2">
        <f t="shared" ref="N4:N9" si="3">M4</f>
        <v>0.3728813559322034</v>
      </c>
    </row>
    <row r="5" spans="1:14" x14ac:dyDescent="0.35">
      <c r="A5" s="1">
        <v>181</v>
      </c>
      <c r="G5">
        <v>4</v>
      </c>
      <c r="H5">
        <v>375</v>
      </c>
      <c r="I5">
        <f>H5+D4</f>
        <v>441</v>
      </c>
      <c r="K5">
        <f t="shared" si="0"/>
        <v>8</v>
      </c>
      <c r="L5">
        <f t="shared" si="2"/>
        <v>55</v>
      </c>
      <c r="M5" s="3">
        <f t="shared" si="1"/>
        <v>0.13559322033898305</v>
      </c>
      <c r="N5" s="2">
        <f t="shared" si="3"/>
        <v>0.13559322033898305</v>
      </c>
    </row>
    <row r="6" spans="1:14" x14ac:dyDescent="0.35">
      <c r="A6" s="1">
        <v>182</v>
      </c>
      <c r="G6">
        <v>5</v>
      </c>
      <c r="H6">
        <v>442</v>
      </c>
      <c r="I6">
        <f>H6+D4</f>
        <v>508</v>
      </c>
      <c r="K6">
        <f t="shared" si="0"/>
        <v>1</v>
      </c>
      <c r="L6">
        <f t="shared" si="2"/>
        <v>56</v>
      </c>
      <c r="M6" s="3">
        <f t="shared" si="1"/>
        <v>1.6949152542372881E-2</v>
      </c>
      <c r="N6" s="2">
        <f t="shared" si="3"/>
        <v>1.6949152542372881E-2</v>
      </c>
    </row>
    <row r="7" spans="1:14" x14ac:dyDescent="0.35">
      <c r="A7" s="1">
        <v>183</v>
      </c>
      <c r="G7">
        <v>6</v>
      </c>
      <c r="H7">
        <v>509</v>
      </c>
      <c r="I7">
        <f>H7+D4</f>
        <v>575</v>
      </c>
      <c r="K7">
        <f t="shared" si="0"/>
        <v>2</v>
      </c>
      <c r="L7">
        <f t="shared" si="2"/>
        <v>58</v>
      </c>
      <c r="M7" s="3">
        <f t="shared" si="1"/>
        <v>3.3898305084745763E-2</v>
      </c>
      <c r="N7" s="2">
        <f t="shared" si="3"/>
        <v>3.3898305084745763E-2</v>
      </c>
    </row>
    <row r="8" spans="1:14" x14ac:dyDescent="0.35">
      <c r="A8" s="1">
        <v>211</v>
      </c>
      <c r="G8">
        <v>7</v>
      </c>
      <c r="H8">
        <v>576</v>
      </c>
      <c r="I8">
        <f>H8+D4</f>
        <v>642</v>
      </c>
      <c r="K8">
        <f t="shared" si="0"/>
        <v>0</v>
      </c>
      <c r="L8">
        <f t="shared" si="2"/>
        <v>58</v>
      </c>
      <c r="M8" s="3">
        <f t="shared" si="1"/>
        <v>0</v>
      </c>
      <c r="N8" s="2">
        <f t="shared" si="3"/>
        <v>0</v>
      </c>
    </row>
    <row r="9" spans="1:14" x14ac:dyDescent="0.35">
      <c r="A9" s="1">
        <v>216</v>
      </c>
      <c r="G9">
        <v>8</v>
      </c>
      <c r="H9">
        <v>643</v>
      </c>
      <c r="I9">
        <f>H9+D4</f>
        <v>709</v>
      </c>
      <c r="K9">
        <f t="shared" si="0"/>
        <v>1</v>
      </c>
      <c r="L9">
        <f t="shared" si="2"/>
        <v>59</v>
      </c>
      <c r="M9" s="3">
        <f t="shared" si="1"/>
        <v>1.6949152542372881E-2</v>
      </c>
      <c r="N9" s="2">
        <f t="shared" si="3"/>
        <v>1.6949152542372881E-2</v>
      </c>
    </row>
    <row r="10" spans="1:14" x14ac:dyDescent="0.35">
      <c r="A10" s="1">
        <v>217</v>
      </c>
    </row>
    <row r="11" spans="1:14" x14ac:dyDescent="0.35">
      <c r="A11" s="1">
        <v>226</v>
      </c>
      <c r="G11" t="s">
        <v>7</v>
      </c>
      <c r="H11">
        <v>59</v>
      </c>
    </row>
    <row r="12" spans="1:14" x14ac:dyDescent="0.35">
      <c r="A12" s="1">
        <v>233</v>
      </c>
    </row>
    <row r="13" spans="1:14" x14ac:dyDescent="0.35">
      <c r="A13" s="1">
        <v>235</v>
      </c>
    </row>
    <row r="14" spans="1:14" x14ac:dyDescent="0.35">
      <c r="A14" s="1">
        <v>257</v>
      </c>
    </row>
    <row r="15" spans="1:14" x14ac:dyDescent="0.35">
      <c r="A15" s="1">
        <v>270</v>
      </c>
    </row>
    <row r="16" spans="1:14" x14ac:dyDescent="0.35">
      <c r="A16" s="1">
        <v>276</v>
      </c>
    </row>
    <row r="17" spans="1:1" x14ac:dyDescent="0.35">
      <c r="A17" s="1">
        <v>279</v>
      </c>
    </row>
    <row r="18" spans="1:1" x14ac:dyDescent="0.35">
      <c r="A18" s="1">
        <v>280</v>
      </c>
    </row>
    <row r="19" spans="1:1" x14ac:dyDescent="0.35">
      <c r="A19" s="1">
        <v>283</v>
      </c>
    </row>
    <row r="20" spans="1:1" x14ac:dyDescent="0.35">
      <c r="A20" s="1">
        <v>292</v>
      </c>
    </row>
    <row r="21" spans="1:1" x14ac:dyDescent="0.35">
      <c r="A21" s="1">
        <v>293</v>
      </c>
    </row>
    <row r="22" spans="1:1" x14ac:dyDescent="0.35">
      <c r="A22" s="1">
        <v>295</v>
      </c>
    </row>
    <row r="23" spans="1:1" x14ac:dyDescent="0.35">
      <c r="A23" s="1">
        <v>300</v>
      </c>
    </row>
    <row r="24" spans="1:1" x14ac:dyDescent="0.35">
      <c r="A24" s="1">
        <v>301</v>
      </c>
    </row>
    <row r="25" spans="1:1" x14ac:dyDescent="0.35">
      <c r="A25" s="1">
        <v>304</v>
      </c>
    </row>
    <row r="26" spans="1:1" x14ac:dyDescent="0.35">
      <c r="A26" s="1">
        <v>304</v>
      </c>
    </row>
    <row r="27" spans="1:1" x14ac:dyDescent="0.35">
      <c r="A27" s="1">
        <v>310</v>
      </c>
    </row>
    <row r="28" spans="1:1" x14ac:dyDescent="0.35">
      <c r="A28" s="1">
        <v>310</v>
      </c>
    </row>
    <row r="29" spans="1:1" x14ac:dyDescent="0.35">
      <c r="A29" s="1">
        <v>328</v>
      </c>
    </row>
    <row r="30" spans="1:1" x14ac:dyDescent="0.35">
      <c r="A30" s="1">
        <v>328</v>
      </c>
    </row>
    <row r="31" spans="1:1" x14ac:dyDescent="0.35">
      <c r="A31" s="1">
        <v>333</v>
      </c>
    </row>
    <row r="32" spans="1:1" x14ac:dyDescent="0.35">
      <c r="A32" s="1">
        <v>337</v>
      </c>
    </row>
    <row r="33" spans="1:1" x14ac:dyDescent="0.35">
      <c r="A33" s="1">
        <v>340</v>
      </c>
    </row>
    <row r="34" spans="1:1" x14ac:dyDescent="0.35">
      <c r="A34" s="1">
        <v>340</v>
      </c>
    </row>
    <row r="35" spans="1:1" x14ac:dyDescent="0.35">
      <c r="A35" s="1">
        <v>348</v>
      </c>
    </row>
    <row r="36" spans="1:1" x14ac:dyDescent="0.35">
      <c r="A36" s="1">
        <v>348</v>
      </c>
    </row>
    <row r="37" spans="1:1" x14ac:dyDescent="0.35">
      <c r="A37" s="1">
        <v>350</v>
      </c>
    </row>
    <row r="38" spans="1:1" x14ac:dyDescent="0.35">
      <c r="A38" s="1">
        <v>351</v>
      </c>
    </row>
    <row r="39" spans="1:1" x14ac:dyDescent="0.35">
      <c r="A39" s="1">
        <v>352</v>
      </c>
    </row>
    <row r="40" spans="1:1" x14ac:dyDescent="0.35">
      <c r="A40" s="1">
        <v>355</v>
      </c>
    </row>
    <row r="41" spans="1:1" x14ac:dyDescent="0.35">
      <c r="A41" s="1">
        <v>362</v>
      </c>
    </row>
    <row r="42" spans="1:1" x14ac:dyDescent="0.35">
      <c r="A42" s="1">
        <v>363</v>
      </c>
    </row>
    <row r="43" spans="1:1" x14ac:dyDescent="0.35">
      <c r="A43" s="1">
        <v>365</v>
      </c>
    </row>
    <row r="44" spans="1:1" x14ac:dyDescent="0.35">
      <c r="A44" s="1">
        <v>366</v>
      </c>
    </row>
    <row r="45" spans="1:1" x14ac:dyDescent="0.35">
      <c r="A45" s="1">
        <v>367</v>
      </c>
    </row>
    <row r="46" spans="1:1" x14ac:dyDescent="0.35">
      <c r="A46" s="1">
        <v>367</v>
      </c>
    </row>
    <row r="47" spans="1:1" x14ac:dyDescent="0.35">
      <c r="A47" s="1">
        <v>368</v>
      </c>
    </row>
    <row r="48" spans="1:1" x14ac:dyDescent="0.35">
      <c r="A48" s="1">
        <v>371</v>
      </c>
    </row>
    <row r="49" spans="1:1" x14ac:dyDescent="0.35">
      <c r="A49" s="1">
        <v>376</v>
      </c>
    </row>
    <row r="50" spans="1:1" x14ac:dyDescent="0.35">
      <c r="A50" s="1">
        <v>381</v>
      </c>
    </row>
    <row r="51" spans="1:1" x14ac:dyDescent="0.35">
      <c r="A51" s="1">
        <v>389</v>
      </c>
    </row>
    <row r="52" spans="1:1" x14ac:dyDescent="0.35">
      <c r="A52" s="1">
        <v>392</v>
      </c>
    </row>
    <row r="53" spans="1:1" x14ac:dyDescent="0.35">
      <c r="A53" s="1">
        <v>398</v>
      </c>
    </row>
    <row r="54" spans="1:1" x14ac:dyDescent="0.35">
      <c r="A54" s="1">
        <v>415</v>
      </c>
    </row>
    <row r="55" spans="1:1" x14ac:dyDescent="0.35">
      <c r="A55" s="1">
        <v>423</v>
      </c>
    </row>
    <row r="56" spans="1:1" x14ac:dyDescent="0.35">
      <c r="A56" s="1">
        <v>437</v>
      </c>
    </row>
    <row r="57" spans="1:1" x14ac:dyDescent="0.35">
      <c r="A57" s="1">
        <v>451</v>
      </c>
    </row>
    <row r="58" spans="1:1" x14ac:dyDescent="0.35">
      <c r="A58" s="1">
        <v>528</v>
      </c>
    </row>
    <row r="59" spans="1:1" x14ac:dyDescent="0.35">
      <c r="A59" s="1">
        <v>567</v>
      </c>
    </row>
    <row r="60" spans="1:1" x14ac:dyDescent="0.35">
      <c r="A60" s="1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Velásquez</dc:creator>
  <cp:lastModifiedBy>Juan Juárez</cp:lastModifiedBy>
  <dcterms:created xsi:type="dcterms:W3CDTF">2020-01-27T20:16:40Z</dcterms:created>
  <dcterms:modified xsi:type="dcterms:W3CDTF">2026-01-26T21:40:52Z</dcterms:modified>
</cp:coreProperties>
</file>